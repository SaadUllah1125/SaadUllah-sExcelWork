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aaz\Desktop\Saad Ullah's Excel Work\"/>
    </mc:Choice>
  </mc:AlternateContent>
  <xr:revisionPtr revIDLastSave="0" documentId="8_{BD078364-9592-49CA-9669-BFA785E720E0}" xr6:coauthVersionLast="47" xr6:coauthVersionMax="47" xr10:uidLastSave="{00000000-0000-0000-0000-000000000000}"/>
  <bookViews>
    <workbookView xWindow="-120" yWindow="-120" windowWidth="20730" windowHeight="11160" xr2:uid="{E8DB3386-A81F-435E-B182-614C76397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9" i="1"/>
  <c r="H50" i="1"/>
  <c r="H51" i="1"/>
  <c r="H52" i="1"/>
  <c r="H53" i="1"/>
  <c r="H47" i="1"/>
  <c r="Z3" i="1"/>
  <c r="Z4" i="1"/>
  <c r="Z5" i="1"/>
  <c r="Z6" i="1"/>
  <c r="Z7" i="1"/>
  <c r="Z8" i="1"/>
  <c r="Z9" i="1"/>
  <c r="Z10" i="1"/>
  <c r="Z11" i="1"/>
  <c r="Z2" i="1"/>
  <c r="AA3" i="1"/>
  <c r="AA4" i="1"/>
  <c r="AA5" i="1"/>
  <c r="AA6" i="1"/>
  <c r="AA7" i="1"/>
  <c r="AA8" i="1"/>
  <c r="AA9" i="1"/>
  <c r="AA10" i="1"/>
  <c r="AA11" i="1"/>
  <c r="AA2" i="1"/>
  <c r="Y3" i="1"/>
  <c r="Y4" i="1"/>
  <c r="Y5" i="1"/>
  <c r="Y6" i="1"/>
  <c r="Y7" i="1"/>
  <c r="Y8" i="1"/>
  <c r="Y9" i="1"/>
  <c r="Y10" i="1"/>
  <c r="Y11" i="1"/>
  <c r="Y2" i="1"/>
  <c r="O28" i="1"/>
  <c r="O32" i="1"/>
  <c r="O36" i="1"/>
  <c r="M39" i="1"/>
  <c r="N39" i="1" s="1"/>
  <c r="O39" i="1" s="1"/>
  <c r="M38" i="1"/>
  <c r="N38" i="1" s="1"/>
  <c r="O38" i="1" s="1"/>
  <c r="M37" i="1"/>
  <c r="N37" i="1" s="1"/>
  <c r="O37" i="1" s="1"/>
  <c r="M36" i="1"/>
  <c r="M35" i="1"/>
  <c r="N35" i="1" s="1"/>
  <c r="O35" i="1" s="1"/>
  <c r="M34" i="1"/>
  <c r="N34" i="1" s="1"/>
  <c r="O34" i="1" s="1"/>
  <c r="M33" i="1"/>
  <c r="N33" i="1" s="1"/>
  <c r="O33" i="1" s="1"/>
  <c r="M32" i="1"/>
  <c r="M31" i="1"/>
  <c r="N31" i="1" s="1"/>
  <c r="O31" i="1" s="1"/>
  <c r="M30" i="1"/>
  <c r="N30" i="1" s="1"/>
  <c r="O30" i="1" s="1"/>
  <c r="M29" i="1"/>
  <c r="N29" i="1" s="1"/>
  <c r="O29" i="1" s="1"/>
  <c r="M28" i="1"/>
  <c r="M27" i="1"/>
  <c r="N27" i="1" s="1"/>
  <c r="O27" i="1" s="1"/>
  <c r="M26" i="1"/>
  <c r="N26" i="1" s="1"/>
  <c r="O26" i="1" s="1"/>
  <c r="E27" i="1"/>
  <c r="E28" i="1"/>
  <c r="E29" i="1"/>
  <c r="E30" i="1"/>
  <c r="E31" i="1"/>
  <c r="E32" i="1"/>
  <c r="E33" i="1"/>
  <c r="E34" i="1"/>
  <c r="E35" i="1"/>
  <c r="E26" i="1"/>
  <c r="D27" i="1"/>
  <c r="D28" i="1"/>
  <c r="D29" i="1"/>
  <c r="D30" i="1"/>
  <c r="D31" i="1"/>
  <c r="D32" i="1"/>
  <c r="D33" i="1"/>
  <c r="D34" i="1"/>
  <c r="D35" i="1"/>
  <c r="D26" i="1"/>
  <c r="J15" i="1"/>
  <c r="J16" i="1"/>
  <c r="J17" i="1"/>
  <c r="J18" i="1"/>
  <c r="J19" i="1"/>
  <c r="J20" i="1"/>
  <c r="J21" i="1"/>
  <c r="J22" i="1"/>
  <c r="J23" i="1"/>
  <c r="J14" i="1"/>
  <c r="D15" i="1"/>
  <c r="D16" i="1"/>
  <c r="D17" i="1"/>
  <c r="D18" i="1"/>
  <c r="D19" i="1"/>
  <c r="D20" i="1"/>
  <c r="D21" i="1"/>
  <c r="D22" i="1"/>
  <c r="D23" i="1"/>
  <c r="D14" i="1"/>
  <c r="C15" i="1"/>
  <c r="C16" i="1"/>
  <c r="C17" i="1"/>
  <c r="C18" i="1"/>
  <c r="C19" i="1"/>
  <c r="C20" i="1"/>
  <c r="C21" i="1"/>
  <c r="C22" i="1"/>
  <c r="C23" i="1"/>
  <c r="C14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<sst xmlns="http://schemas.openxmlformats.org/spreadsheetml/2006/main" count="179" uniqueCount="125">
  <si>
    <t>S no</t>
  </si>
  <si>
    <t>Students Name</t>
  </si>
  <si>
    <t>Upper</t>
  </si>
  <si>
    <t>Lower</t>
  </si>
  <si>
    <t>Proper</t>
  </si>
  <si>
    <t>yahya Gillani</t>
  </si>
  <si>
    <t>salman agha</t>
  </si>
  <si>
    <t>Irshad hassan</t>
  </si>
  <si>
    <t>Ilyas Samar</t>
  </si>
  <si>
    <t>amjad khan</t>
  </si>
  <si>
    <t>essa Khan</t>
  </si>
  <si>
    <t>ali Jutt</t>
  </si>
  <si>
    <t>muaaz Khan</t>
  </si>
  <si>
    <t>Saleem hassan</t>
  </si>
  <si>
    <t>Saad khan</t>
  </si>
  <si>
    <t>IDs</t>
  </si>
  <si>
    <t>Left</t>
  </si>
  <si>
    <t>Mid</t>
  </si>
  <si>
    <t>Right</t>
  </si>
  <si>
    <t>EMP2025HR</t>
  </si>
  <si>
    <t>STU4589IT</t>
  </si>
  <si>
    <t>CUS1234IN</t>
  </si>
  <si>
    <t>ADM8765PR</t>
  </si>
  <si>
    <t>FIN3421AC</t>
  </si>
  <si>
    <t>MKT9912BD</t>
  </si>
  <si>
    <t>HRD5607TL</t>
  </si>
  <si>
    <t>ENG7354ME</t>
  </si>
  <si>
    <t>TCH8888SC</t>
  </si>
  <si>
    <t>ITR1098QA</t>
  </si>
  <si>
    <t>Dates</t>
  </si>
  <si>
    <t>Text / Day</t>
  </si>
  <si>
    <t>Month</t>
  </si>
  <si>
    <t>Months</t>
  </si>
  <si>
    <t>Edate</t>
  </si>
  <si>
    <t>Initial Date</t>
  </si>
  <si>
    <t>Last Date</t>
  </si>
  <si>
    <t>Days</t>
  </si>
  <si>
    <t>Networkdays</t>
  </si>
  <si>
    <t>English</t>
  </si>
  <si>
    <t>Math</t>
  </si>
  <si>
    <t>Science</t>
  </si>
  <si>
    <t>Total</t>
  </si>
  <si>
    <t>%</t>
  </si>
  <si>
    <t>Status</t>
  </si>
  <si>
    <t>Urdu</t>
  </si>
  <si>
    <t>Zeeshan</t>
  </si>
  <si>
    <t xml:space="preserve">Irfan </t>
  </si>
  <si>
    <t>Rehan</t>
  </si>
  <si>
    <t>Muzzamil</t>
  </si>
  <si>
    <t>Mudasir</t>
  </si>
  <si>
    <t>Faizan</t>
  </si>
  <si>
    <t>Hassan</t>
  </si>
  <si>
    <t>Moeeed</t>
  </si>
  <si>
    <t>Aslam</t>
  </si>
  <si>
    <t>Zahid</t>
  </si>
  <si>
    <t>Sagheer</t>
  </si>
  <si>
    <t>Yousaf</t>
  </si>
  <si>
    <t>Zayan</t>
  </si>
  <si>
    <t>Asad</t>
  </si>
  <si>
    <t>Party Names</t>
  </si>
  <si>
    <t>Amount</t>
  </si>
  <si>
    <t>Sumif</t>
  </si>
  <si>
    <t>Averageif</t>
  </si>
  <si>
    <t>Countif</t>
  </si>
  <si>
    <t>Engro Corporation</t>
  </si>
  <si>
    <t>Lucky Cement Limited</t>
  </si>
  <si>
    <t>Pakistan State Oil</t>
  </si>
  <si>
    <t>Oil &amp; Gas Development Company Limited</t>
  </si>
  <si>
    <t>Pakistan Petroleum Limited</t>
  </si>
  <si>
    <t>Fauji Fertilizer Company Limited</t>
  </si>
  <si>
    <t>Mari Petroleum Company Limited</t>
  </si>
  <si>
    <t>Nishat Mills Limited</t>
  </si>
  <si>
    <t>Packages Limited</t>
  </si>
  <si>
    <t>Systems Limited</t>
  </si>
  <si>
    <t>TRG Pakistan Limited</t>
  </si>
  <si>
    <t>Meezan Bank Limited</t>
  </si>
  <si>
    <t>Habib Bank Limited</t>
  </si>
  <si>
    <t>United Bank Limited</t>
  </si>
  <si>
    <t>MCB Bank Limited</t>
  </si>
  <si>
    <t>National Foods Limited</t>
  </si>
  <si>
    <t>Millat Tractors Limited</t>
  </si>
  <si>
    <t>The Searle Company Limited</t>
  </si>
  <si>
    <t>Attock Petroleum Limited</t>
  </si>
  <si>
    <t>Dawlance</t>
  </si>
  <si>
    <t>K-Electric</t>
  </si>
  <si>
    <t>Category</t>
  </si>
  <si>
    <t>Region</t>
  </si>
  <si>
    <t>Energy</t>
  </si>
  <si>
    <t>Petroleum</t>
  </si>
  <si>
    <t>Cement</t>
  </si>
  <si>
    <t>Conglomerate</t>
  </si>
  <si>
    <t>Fertilizer</t>
  </si>
  <si>
    <t>Power</t>
  </si>
  <si>
    <t>Technology</t>
  </si>
  <si>
    <t>Software</t>
  </si>
  <si>
    <t>Packaging</t>
  </si>
  <si>
    <t>Textile</t>
  </si>
  <si>
    <t>Utility</t>
  </si>
  <si>
    <t>Banking</t>
  </si>
  <si>
    <t>Food</t>
  </si>
  <si>
    <t>Beverage</t>
  </si>
  <si>
    <t>Islamabad</t>
  </si>
  <si>
    <t>Karachi</t>
  </si>
  <si>
    <t>Rawalpindi</t>
  </si>
  <si>
    <t>Lahore</t>
  </si>
  <si>
    <t xml:space="preserve"> Oil &amp; Gas Development Company Limited</t>
  </si>
  <si>
    <t xml:space="preserve"> Pakistan State Oil</t>
  </si>
  <si>
    <t xml:space="preserve"> Pakistan Petroleum Limited</t>
  </si>
  <si>
    <t xml:space="preserve"> Lucky Cement</t>
  </si>
  <si>
    <t xml:space="preserve"> Engro Corporation</t>
  </si>
  <si>
    <t xml:space="preserve"> Fauji Fertilizer Company</t>
  </si>
  <si>
    <t xml:space="preserve"> Hub Power Company</t>
  </si>
  <si>
    <t xml:space="preserve"> Systems Limited</t>
  </si>
  <si>
    <t xml:space="preserve"> Netsol Technologies</t>
  </si>
  <si>
    <t xml:space="preserve"> TRG Pakistan</t>
  </si>
  <si>
    <t xml:space="preserve"> Packages Limited</t>
  </si>
  <si>
    <t xml:space="preserve"> Nishat Mills</t>
  </si>
  <si>
    <t xml:space="preserve"> Gul Ahmed Textile Mills</t>
  </si>
  <si>
    <t xml:space="preserve"> K-Electric</t>
  </si>
  <si>
    <t xml:space="preserve"> Meezan Bank</t>
  </si>
  <si>
    <t xml:space="preserve"> Habib Bank Limited</t>
  </si>
  <si>
    <t xml:space="preserve"> United Bank Limited</t>
  </si>
  <si>
    <t>MCB Bank</t>
  </si>
  <si>
    <t xml:space="preserve"> National Foods Limited</t>
  </si>
  <si>
    <t xml:space="preserve"> The Coca-Cola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</si>
</sst>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4" borderId="8" xfId="0" applyNumberForma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 vertical="center"/>
    </xf>
    <xf numFmtId="14" fontId="0" fillId="0" borderId="6" xfId="0" applyNumberFormat="1" applyBorder="1"/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14" fontId="0" fillId="6" borderId="8" xfId="0" applyNumberFormat="1" applyFill="1" applyBorder="1" applyAlignment="1">
      <alignment horizontal="center" vertical="center"/>
    </xf>
    <xf numFmtId="14" fontId="0" fillId="6" borderId="1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9" fontId="0" fillId="0" borderId="4" xfId="2" applyFont="1" applyBorder="1" applyAlignment="1">
      <alignment horizontal="center"/>
    </xf>
    <xf numFmtId="0" fontId="0" fillId="8" borderId="6" xfId="0" applyFill="1" applyBorder="1" applyAlignment="1">
      <alignment horizontal="center"/>
    </xf>
    <xf numFmtId="43" fontId="0" fillId="0" borderId="4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4" xfId="1" applyNumberFormat="1" applyFont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0" borderId="4" xfId="0" applyBorder="1"/>
    <xf numFmtId="0" fontId="2" fillId="5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1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38FD-72DB-4618-8C6F-DE559CA99F54}">
  <dimension ref="A1:AA71"/>
  <sheetViews>
    <sheetView tabSelected="1" topLeftCell="A2" zoomScaleNormal="100" workbookViewId="0">
      <selection activeCell="J52" sqref="J52"/>
    </sheetView>
  </sheetViews>
  <sheetFormatPr defaultRowHeight="15" x14ac:dyDescent="0.25"/>
  <cols>
    <col min="2" max="2" width="39.5703125" customWidth="1"/>
    <col min="3" max="3" width="18.7109375" customWidth="1"/>
    <col min="4" max="4" width="16.140625" customWidth="1"/>
    <col min="5" max="5" width="17.5703125" customWidth="1"/>
    <col min="7" max="7" width="22.7109375" customWidth="1"/>
    <col min="8" max="8" width="16.85546875" customWidth="1"/>
    <col min="9" max="9" width="12.28515625" customWidth="1"/>
    <col min="10" max="10" width="15.7109375" customWidth="1"/>
    <col min="11" max="11" width="14.85546875" customWidth="1"/>
    <col min="15" max="15" width="12.28515625" customWidth="1"/>
    <col min="19" max="19" width="5.7109375" customWidth="1"/>
    <col min="20" max="20" width="37.42578125" bestFit="1" customWidth="1"/>
    <col min="21" max="21" width="14.85546875" customWidth="1"/>
    <col min="23" max="23" width="4.28515625" customWidth="1"/>
    <col min="24" max="24" width="36.42578125" customWidth="1"/>
    <col min="25" max="25" width="12.85546875" customWidth="1"/>
    <col min="26" max="26" width="15.5703125" customWidth="1"/>
    <col min="27" max="27" width="17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1" t="s">
        <v>0</v>
      </c>
      <c r="H1" s="2" t="s">
        <v>15</v>
      </c>
      <c r="I1" s="2" t="s">
        <v>16</v>
      </c>
      <c r="J1" s="2" t="s">
        <v>17</v>
      </c>
      <c r="K1" s="2" t="s">
        <v>18</v>
      </c>
      <c r="S1" s="32" t="s">
        <v>0</v>
      </c>
      <c r="T1" s="33" t="s">
        <v>59</v>
      </c>
      <c r="U1" s="32" t="s">
        <v>60</v>
      </c>
      <c r="W1" s="30" t="s">
        <v>0</v>
      </c>
      <c r="X1" s="30" t="s">
        <v>59</v>
      </c>
      <c r="Y1" s="30" t="s">
        <v>61</v>
      </c>
      <c r="Z1" s="30" t="s">
        <v>62</v>
      </c>
      <c r="AA1" s="30" t="s">
        <v>63</v>
      </c>
    </row>
    <row r="2" spans="1:27" x14ac:dyDescent="0.25">
      <c r="A2" s="3">
        <v>1</v>
      </c>
      <c r="B2" s="4" t="s">
        <v>14</v>
      </c>
      <c r="C2" s="6" t="str">
        <f>UPPER(B2)</f>
        <v>SAAD KHAN</v>
      </c>
      <c r="D2" s="5" t="str">
        <f>LOWER(B2)</f>
        <v>saad khan</v>
      </c>
      <c r="E2" s="5" t="str">
        <f>PROPER(B2)</f>
        <v>Saad Khan</v>
      </c>
      <c r="G2" s="3">
        <v>1</v>
      </c>
      <c r="H2" s="4" t="s">
        <v>19</v>
      </c>
      <c r="I2" s="5" t="str">
        <f>LEFT(H2,3)</f>
        <v>EMP</v>
      </c>
      <c r="J2" s="5" t="str">
        <f>MID(H2,4,4)</f>
        <v>2025</v>
      </c>
      <c r="K2" s="5" t="str">
        <f>RIGHT(H2,2)</f>
        <v>HR</v>
      </c>
      <c r="S2" s="5">
        <v>1</v>
      </c>
      <c r="T2" s="34" t="s">
        <v>64</v>
      </c>
      <c r="U2" s="28">
        <v>165651</v>
      </c>
      <c r="W2" s="12">
        <v>1</v>
      </c>
      <c r="X2" s="12" t="s">
        <v>64</v>
      </c>
      <c r="Y2" s="29">
        <f>SUMIF($T$2:$T$22,X2,$U$2:$U$22)</f>
        <v>165651</v>
      </c>
      <c r="Z2" s="29">
        <f>AVERAGEIF($T$2:$T$22,X2,$U$2:$U$22)</f>
        <v>165651</v>
      </c>
      <c r="AA2" s="31">
        <f>COUNTIF(T2:$T$22,X2)</f>
        <v>1</v>
      </c>
    </row>
    <row r="3" spans="1:27" x14ac:dyDescent="0.25">
      <c r="A3" s="3">
        <v>2</v>
      </c>
      <c r="B3" s="4" t="s">
        <v>5</v>
      </c>
      <c r="C3" s="6" t="str">
        <f t="shared" ref="C3:C11" si="0">UPPER(B3)</f>
        <v>YAHYA GILLANI</v>
      </c>
      <c r="D3" s="5" t="str">
        <f t="shared" ref="D3:D11" si="1">LOWER(B3)</f>
        <v>yahya gillani</v>
      </c>
      <c r="E3" s="5" t="str">
        <f t="shared" ref="E3:E11" si="2">PROPER(B3)</f>
        <v>Yahya Gillani</v>
      </c>
      <c r="G3" s="3">
        <v>2</v>
      </c>
      <c r="H3" s="4" t="s">
        <v>20</v>
      </c>
      <c r="I3" s="5" t="str">
        <f t="shared" ref="I3:I11" si="3">LEFT(H3,3)</f>
        <v>STU</v>
      </c>
      <c r="J3" s="5" t="str">
        <f t="shared" ref="J3:J11" si="4">MID(H3,4,4)</f>
        <v>4589</v>
      </c>
      <c r="K3" s="5" t="str">
        <f t="shared" ref="K3:K11" si="5">RIGHT(H3,2)</f>
        <v>IT</v>
      </c>
      <c r="S3" s="5">
        <v>2</v>
      </c>
      <c r="T3" s="34" t="s">
        <v>65</v>
      </c>
      <c r="U3" s="28">
        <v>295119</v>
      </c>
      <c r="W3" s="12">
        <v>2</v>
      </c>
      <c r="X3" s="12" t="s">
        <v>65</v>
      </c>
      <c r="Y3" s="29">
        <f t="shared" ref="Y3:Y11" si="6">SUMIF($T$2:$T$22,X3,$U$2:$U$22)</f>
        <v>295119</v>
      </c>
      <c r="Z3" s="29">
        <f t="shared" ref="Z3:Z11" si="7">AVERAGEIF($T$2:$T$22,X3,$U$2:$U$22)</f>
        <v>295119</v>
      </c>
      <c r="AA3" s="31">
        <f>COUNTIF(T3:$T$22,X3)</f>
        <v>1</v>
      </c>
    </row>
    <row r="4" spans="1:27" x14ac:dyDescent="0.25">
      <c r="A4" s="3">
        <v>3</v>
      </c>
      <c r="B4" s="4" t="s">
        <v>6</v>
      </c>
      <c r="C4" s="6" t="str">
        <f t="shared" si="0"/>
        <v>SALMAN AGHA</v>
      </c>
      <c r="D4" s="5" t="str">
        <f t="shared" si="1"/>
        <v>salman agha</v>
      </c>
      <c r="E4" s="5" t="str">
        <f t="shared" si="2"/>
        <v>Salman Agha</v>
      </c>
      <c r="G4" s="3">
        <v>3</v>
      </c>
      <c r="H4" s="4" t="s">
        <v>21</v>
      </c>
      <c r="I4" s="5" t="str">
        <f t="shared" si="3"/>
        <v>CUS</v>
      </c>
      <c r="J4" s="5" t="str">
        <f t="shared" si="4"/>
        <v>1234</v>
      </c>
      <c r="K4" s="5" t="str">
        <f t="shared" si="5"/>
        <v>IN</v>
      </c>
      <c r="S4" s="5">
        <v>3</v>
      </c>
      <c r="T4" s="34" t="s">
        <v>66</v>
      </c>
      <c r="U4" s="28">
        <v>294115</v>
      </c>
      <c r="W4" s="12">
        <v>3</v>
      </c>
      <c r="X4" s="12" t="s">
        <v>66</v>
      </c>
      <c r="Y4" s="29">
        <f t="shared" si="6"/>
        <v>294115</v>
      </c>
      <c r="Z4" s="29">
        <f t="shared" si="7"/>
        <v>294115</v>
      </c>
      <c r="AA4" s="31">
        <f>COUNTIF(T4:$T$22,X4)</f>
        <v>1</v>
      </c>
    </row>
    <row r="5" spans="1:27" x14ac:dyDescent="0.25">
      <c r="A5" s="3">
        <v>4</v>
      </c>
      <c r="B5" s="4" t="s">
        <v>7</v>
      </c>
      <c r="C5" s="6" t="str">
        <f t="shared" si="0"/>
        <v>IRSHAD HASSAN</v>
      </c>
      <c r="D5" s="5" t="str">
        <f t="shared" si="1"/>
        <v>irshad hassan</v>
      </c>
      <c r="E5" s="5" t="str">
        <f t="shared" si="2"/>
        <v>Irshad Hassan</v>
      </c>
      <c r="G5" s="3">
        <v>4</v>
      </c>
      <c r="H5" s="4" t="s">
        <v>22</v>
      </c>
      <c r="I5" s="5" t="str">
        <f t="shared" si="3"/>
        <v>ADM</v>
      </c>
      <c r="J5" s="5" t="str">
        <f t="shared" si="4"/>
        <v>8765</v>
      </c>
      <c r="K5" s="5" t="str">
        <f t="shared" si="5"/>
        <v>PR</v>
      </c>
      <c r="S5" s="5">
        <v>4</v>
      </c>
      <c r="T5" s="34" t="s">
        <v>67</v>
      </c>
      <c r="U5" s="28">
        <v>406789</v>
      </c>
      <c r="W5" s="12">
        <v>4</v>
      </c>
      <c r="X5" s="12" t="s">
        <v>67</v>
      </c>
      <c r="Y5" s="29">
        <f t="shared" si="6"/>
        <v>406789</v>
      </c>
      <c r="Z5" s="29">
        <f t="shared" si="7"/>
        <v>406789</v>
      </c>
      <c r="AA5" s="31">
        <f>COUNTIF(T5:$T$22,X5)</f>
        <v>1</v>
      </c>
    </row>
    <row r="6" spans="1:27" x14ac:dyDescent="0.25">
      <c r="A6" s="3">
        <v>5</v>
      </c>
      <c r="B6" s="4" t="s">
        <v>8</v>
      </c>
      <c r="C6" s="6" t="str">
        <f t="shared" si="0"/>
        <v>ILYAS SAMAR</v>
      </c>
      <c r="D6" s="5" t="str">
        <f t="shared" si="1"/>
        <v>ilyas samar</v>
      </c>
      <c r="E6" s="5" t="str">
        <f t="shared" si="2"/>
        <v>Ilyas Samar</v>
      </c>
      <c r="G6" s="3">
        <v>5</v>
      </c>
      <c r="H6" s="4" t="s">
        <v>23</v>
      </c>
      <c r="I6" s="5" t="str">
        <f t="shared" si="3"/>
        <v>FIN</v>
      </c>
      <c r="J6" s="5" t="str">
        <f t="shared" si="4"/>
        <v>3421</v>
      </c>
      <c r="K6" s="5" t="str">
        <f t="shared" si="5"/>
        <v>AC</v>
      </c>
      <c r="S6" s="5">
        <v>5</v>
      </c>
      <c r="T6" s="34" t="s">
        <v>68</v>
      </c>
      <c r="U6" s="28">
        <v>391182</v>
      </c>
      <c r="W6" s="12">
        <v>5</v>
      </c>
      <c r="X6" s="12" t="s">
        <v>68</v>
      </c>
      <c r="Y6" s="29">
        <f t="shared" si="6"/>
        <v>391182</v>
      </c>
      <c r="Z6" s="29">
        <f t="shared" si="7"/>
        <v>391182</v>
      </c>
      <c r="AA6" s="31">
        <f>COUNTIF(T6:$T$22,X6)</f>
        <v>1</v>
      </c>
    </row>
    <row r="7" spans="1:27" x14ac:dyDescent="0.25">
      <c r="A7" s="3">
        <v>6</v>
      </c>
      <c r="B7" s="4" t="s">
        <v>9</v>
      </c>
      <c r="C7" s="6" t="str">
        <f t="shared" si="0"/>
        <v>AMJAD KHAN</v>
      </c>
      <c r="D7" s="5" t="str">
        <f t="shared" si="1"/>
        <v>amjad khan</v>
      </c>
      <c r="E7" s="5" t="str">
        <f t="shared" si="2"/>
        <v>Amjad Khan</v>
      </c>
      <c r="G7" s="3">
        <v>6</v>
      </c>
      <c r="H7" s="4" t="s">
        <v>24</v>
      </c>
      <c r="I7" s="5" t="str">
        <f t="shared" si="3"/>
        <v>MKT</v>
      </c>
      <c r="J7" s="5" t="str">
        <f t="shared" si="4"/>
        <v>9912</v>
      </c>
      <c r="K7" s="5" t="str">
        <f t="shared" si="5"/>
        <v>BD</v>
      </c>
      <c r="S7" s="5">
        <v>6</v>
      </c>
      <c r="T7" s="34" t="s">
        <v>69</v>
      </c>
      <c r="U7" s="28">
        <v>435516</v>
      </c>
      <c r="W7" s="12">
        <v>6</v>
      </c>
      <c r="X7" s="12" t="s">
        <v>69</v>
      </c>
      <c r="Y7" s="29">
        <f t="shared" si="6"/>
        <v>435516</v>
      </c>
      <c r="Z7" s="29">
        <f t="shared" si="7"/>
        <v>435516</v>
      </c>
      <c r="AA7" s="31">
        <f>COUNTIF(T7:$T$22,X7)</f>
        <v>1</v>
      </c>
    </row>
    <row r="8" spans="1:27" x14ac:dyDescent="0.25">
      <c r="A8" s="3">
        <v>7</v>
      </c>
      <c r="B8" s="4" t="s">
        <v>10</v>
      </c>
      <c r="C8" s="6" t="str">
        <f t="shared" si="0"/>
        <v>ESSA KHAN</v>
      </c>
      <c r="D8" s="5" t="str">
        <f t="shared" si="1"/>
        <v>essa khan</v>
      </c>
      <c r="E8" s="5" t="str">
        <f t="shared" si="2"/>
        <v>Essa Khan</v>
      </c>
      <c r="G8" s="3">
        <v>7</v>
      </c>
      <c r="H8" s="4" t="s">
        <v>25</v>
      </c>
      <c r="I8" s="5" t="str">
        <f t="shared" si="3"/>
        <v>HRD</v>
      </c>
      <c r="J8" s="5" t="str">
        <f t="shared" si="4"/>
        <v>5607</v>
      </c>
      <c r="K8" s="5" t="str">
        <f t="shared" si="5"/>
        <v>TL</v>
      </c>
      <c r="S8" s="5">
        <v>7</v>
      </c>
      <c r="T8" s="34" t="s">
        <v>70</v>
      </c>
      <c r="U8" s="28">
        <v>246232</v>
      </c>
      <c r="W8" s="12">
        <v>7</v>
      </c>
      <c r="X8" s="12" t="s">
        <v>70</v>
      </c>
      <c r="Y8" s="29">
        <f t="shared" si="6"/>
        <v>246232</v>
      </c>
      <c r="Z8" s="29">
        <f t="shared" si="7"/>
        <v>246232</v>
      </c>
      <c r="AA8" s="31">
        <f>COUNTIF(T8:$T$22,X8)</f>
        <v>1</v>
      </c>
    </row>
    <row r="9" spans="1:27" x14ac:dyDescent="0.25">
      <c r="A9" s="3">
        <v>8</v>
      </c>
      <c r="B9" s="4" t="s">
        <v>11</v>
      </c>
      <c r="C9" s="6" t="str">
        <f t="shared" si="0"/>
        <v>ALI JUTT</v>
      </c>
      <c r="D9" s="5" t="str">
        <f t="shared" si="1"/>
        <v>ali jutt</v>
      </c>
      <c r="E9" s="5" t="str">
        <f t="shared" si="2"/>
        <v>Ali Jutt</v>
      </c>
      <c r="G9" s="3">
        <v>8</v>
      </c>
      <c r="H9" s="4" t="s">
        <v>26</v>
      </c>
      <c r="I9" s="5" t="str">
        <f t="shared" si="3"/>
        <v>ENG</v>
      </c>
      <c r="J9" s="5" t="str">
        <f t="shared" si="4"/>
        <v>7354</v>
      </c>
      <c r="K9" s="5" t="str">
        <f t="shared" si="5"/>
        <v>ME</v>
      </c>
      <c r="S9" s="5">
        <v>8</v>
      </c>
      <c r="T9" s="34" t="s">
        <v>71</v>
      </c>
      <c r="U9" s="28">
        <v>146514</v>
      </c>
      <c r="W9" s="12">
        <v>8</v>
      </c>
      <c r="X9" s="12" t="s">
        <v>71</v>
      </c>
      <c r="Y9" s="29">
        <f t="shared" si="6"/>
        <v>146514</v>
      </c>
      <c r="Z9" s="29">
        <f t="shared" si="7"/>
        <v>146514</v>
      </c>
      <c r="AA9" s="31">
        <f>COUNTIF(T9:$T$22,X9)</f>
        <v>1</v>
      </c>
    </row>
    <row r="10" spans="1:27" x14ac:dyDescent="0.25">
      <c r="A10" s="3">
        <v>9</v>
      </c>
      <c r="B10" s="4" t="s">
        <v>12</v>
      </c>
      <c r="C10" s="6" t="str">
        <f t="shared" si="0"/>
        <v>MUAAZ KHAN</v>
      </c>
      <c r="D10" s="5" t="str">
        <f t="shared" si="1"/>
        <v>muaaz khan</v>
      </c>
      <c r="E10" s="5" t="str">
        <f t="shared" si="2"/>
        <v>Muaaz Khan</v>
      </c>
      <c r="G10" s="3">
        <v>9</v>
      </c>
      <c r="H10" s="4" t="s">
        <v>27</v>
      </c>
      <c r="I10" s="5" t="str">
        <f t="shared" si="3"/>
        <v>TCH</v>
      </c>
      <c r="J10" s="5" t="str">
        <f t="shared" si="4"/>
        <v>8888</v>
      </c>
      <c r="K10" s="5" t="str">
        <f t="shared" si="5"/>
        <v>SC</v>
      </c>
      <c r="S10" s="5">
        <v>9</v>
      </c>
      <c r="T10" s="34" t="s">
        <v>72</v>
      </c>
      <c r="U10" s="28">
        <v>281516</v>
      </c>
      <c r="W10" s="12">
        <v>9</v>
      </c>
      <c r="X10" s="12" t="s">
        <v>72</v>
      </c>
      <c r="Y10" s="29">
        <f t="shared" si="6"/>
        <v>281516</v>
      </c>
      <c r="Z10" s="29">
        <f t="shared" si="7"/>
        <v>281516</v>
      </c>
      <c r="AA10" s="31">
        <f>COUNTIF(T10:$T$22,X10)</f>
        <v>1</v>
      </c>
    </row>
    <row r="11" spans="1:27" x14ac:dyDescent="0.25">
      <c r="A11" s="3">
        <v>10</v>
      </c>
      <c r="B11" s="4" t="s">
        <v>13</v>
      </c>
      <c r="C11" s="6" t="str">
        <f t="shared" si="0"/>
        <v>SALEEM HASSAN</v>
      </c>
      <c r="D11" s="5" t="str">
        <f t="shared" si="1"/>
        <v>saleem hassan</v>
      </c>
      <c r="E11" s="5" t="str">
        <f t="shared" si="2"/>
        <v>Saleem Hassan</v>
      </c>
      <c r="G11" s="3">
        <v>10</v>
      </c>
      <c r="H11" s="4" t="s">
        <v>28</v>
      </c>
      <c r="I11" s="5" t="str">
        <f t="shared" si="3"/>
        <v>ITR</v>
      </c>
      <c r="J11" s="5" t="str">
        <f t="shared" si="4"/>
        <v>1098</v>
      </c>
      <c r="K11" s="5" t="str">
        <f t="shared" si="5"/>
        <v>QA</v>
      </c>
      <c r="S11" s="5">
        <v>10</v>
      </c>
      <c r="T11" s="34" t="s">
        <v>73</v>
      </c>
      <c r="U11" s="28">
        <v>158419</v>
      </c>
      <c r="W11" s="12">
        <v>10</v>
      </c>
      <c r="X11" s="12" t="s">
        <v>73</v>
      </c>
      <c r="Y11" s="29">
        <f t="shared" si="6"/>
        <v>158419</v>
      </c>
      <c r="Z11" s="29">
        <f t="shared" si="7"/>
        <v>158419</v>
      </c>
      <c r="AA11" s="31">
        <f>COUNTIF(T11:$T$22,X11)</f>
        <v>1</v>
      </c>
    </row>
    <row r="12" spans="1:27" ht="15.75" thickBot="1" x14ac:dyDescent="0.3">
      <c r="S12" s="5">
        <v>11</v>
      </c>
      <c r="T12" s="34" t="s">
        <v>74</v>
      </c>
      <c r="U12" s="28">
        <v>373606</v>
      </c>
    </row>
    <row r="13" spans="1:27" x14ac:dyDescent="0.25">
      <c r="A13" s="11" t="s">
        <v>0</v>
      </c>
      <c r="B13" s="11" t="s">
        <v>29</v>
      </c>
      <c r="C13" s="11" t="s">
        <v>30</v>
      </c>
      <c r="D13" s="11" t="s">
        <v>31</v>
      </c>
      <c r="G13" s="1" t="s">
        <v>0</v>
      </c>
      <c r="H13" s="2" t="s">
        <v>29</v>
      </c>
      <c r="I13" s="2" t="s">
        <v>32</v>
      </c>
      <c r="J13" s="7" t="s">
        <v>33</v>
      </c>
      <c r="S13" s="5">
        <v>12</v>
      </c>
      <c r="T13" s="34" t="s">
        <v>75</v>
      </c>
      <c r="U13" s="28">
        <v>299842</v>
      </c>
    </row>
    <row r="14" spans="1:27" x14ac:dyDescent="0.25">
      <c r="A14" s="5">
        <v>1</v>
      </c>
      <c r="B14" s="8">
        <v>44625</v>
      </c>
      <c r="C14" s="5" t="str">
        <f>TEXT(B14,"DDDD")</f>
        <v>Saturday</v>
      </c>
      <c r="D14" s="12" t="str">
        <f>TEXT(B14,"MMMM")</f>
        <v>March</v>
      </c>
      <c r="G14" s="3">
        <v>1</v>
      </c>
      <c r="H14" s="8">
        <v>44625</v>
      </c>
      <c r="I14" s="5">
        <v>5</v>
      </c>
      <c r="J14" s="15">
        <f>EDATE(H14,I14)</f>
        <v>44778</v>
      </c>
      <c r="S14" s="5">
        <v>13</v>
      </c>
      <c r="T14" s="34" t="s">
        <v>76</v>
      </c>
      <c r="U14" s="28">
        <v>144931</v>
      </c>
    </row>
    <row r="15" spans="1:27" x14ac:dyDescent="0.25">
      <c r="A15" s="5">
        <v>2</v>
      </c>
      <c r="B15" s="8">
        <v>44425</v>
      </c>
      <c r="C15" s="5" t="str">
        <f t="shared" ref="C15:C23" si="8">TEXT(B15,"DDDD")</f>
        <v>Tuesday</v>
      </c>
      <c r="D15" s="12" t="str">
        <f t="shared" ref="D15:D23" si="9">TEXT(B15,"MMMM")</f>
        <v>August</v>
      </c>
      <c r="G15" s="3">
        <v>2</v>
      </c>
      <c r="H15" s="8">
        <v>44425</v>
      </c>
      <c r="I15" s="5">
        <v>6</v>
      </c>
      <c r="J15" s="15">
        <f t="shared" ref="J15:J23" si="10">EDATE(H15,I15)</f>
        <v>44609</v>
      </c>
      <c r="S15" s="5">
        <v>14</v>
      </c>
      <c r="T15" s="34" t="s">
        <v>77</v>
      </c>
      <c r="U15" s="28">
        <v>438532</v>
      </c>
    </row>
    <row r="16" spans="1:27" x14ac:dyDescent="0.25">
      <c r="A16" s="5">
        <v>3</v>
      </c>
      <c r="B16" s="8">
        <v>45259</v>
      </c>
      <c r="C16" s="5" t="str">
        <f t="shared" si="8"/>
        <v>Wednesday</v>
      </c>
      <c r="D16" s="12" t="str">
        <f t="shared" si="9"/>
        <v>November</v>
      </c>
      <c r="G16" s="3">
        <v>3</v>
      </c>
      <c r="H16" s="8">
        <v>45259</v>
      </c>
      <c r="I16" s="5">
        <v>2</v>
      </c>
      <c r="J16" s="15">
        <f t="shared" si="10"/>
        <v>45320</v>
      </c>
      <c r="S16" s="5">
        <v>15</v>
      </c>
      <c r="T16" s="34" t="s">
        <v>78</v>
      </c>
      <c r="U16" s="28">
        <v>219495</v>
      </c>
    </row>
    <row r="17" spans="1:21" x14ac:dyDescent="0.25">
      <c r="A17" s="5">
        <v>4</v>
      </c>
      <c r="B17" s="8">
        <v>43875</v>
      </c>
      <c r="C17" s="5" t="str">
        <f t="shared" si="8"/>
        <v>Friday</v>
      </c>
      <c r="D17" s="12" t="str">
        <f t="shared" si="9"/>
        <v>February</v>
      </c>
      <c r="G17" s="3">
        <v>4</v>
      </c>
      <c r="H17" s="8">
        <v>43875</v>
      </c>
      <c r="I17" s="5">
        <v>3</v>
      </c>
      <c r="J17" s="15">
        <f t="shared" si="10"/>
        <v>43965</v>
      </c>
      <c r="S17" s="5">
        <v>16</v>
      </c>
      <c r="T17" s="34" t="s">
        <v>79</v>
      </c>
      <c r="U17" s="28">
        <v>475363</v>
      </c>
    </row>
    <row r="18" spans="1:21" x14ac:dyDescent="0.25">
      <c r="A18" s="5">
        <v>5</v>
      </c>
      <c r="B18" s="8">
        <v>45473</v>
      </c>
      <c r="C18" s="5" t="str">
        <f t="shared" si="8"/>
        <v>Sunday</v>
      </c>
      <c r="D18" s="12" t="str">
        <f t="shared" si="9"/>
        <v>June</v>
      </c>
      <c r="G18" s="3">
        <v>5</v>
      </c>
      <c r="H18" s="8">
        <v>45473</v>
      </c>
      <c r="I18" s="5">
        <v>5</v>
      </c>
      <c r="J18" s="15">
        <f t="shared" si="10"/>
        <v>45626</v>
      </c>
      <c r="S18" s="5">
        <v>17</v>
      </c>
      <c r="T18" s="34" t="s">
        <v>80</v>
      </c>
      <c r="U18" s="28">
        <v>336513</v>
      </c>
    </row>
    <row r="19" spans="1:21" x14ac:dyDescent="0.25">
      <c r="A19" s="5">
        <v>6</v>
      </c>
      <c r="B19" s="8">
        <v>43729</v>
      </c>
      <c r="C19" s="5" t="str">
        <f t="shared" si="8"/>
        <v>Saturday</v>
      </c>
      <c r="D19" s="12" t="str">
        <f t="shared" si="9"/>
        <v>September</v>
      </c>
      <c r="G19" s="3">
        <v>6</v>
      </c>
      <c r="H19" s="8">
        <v>43729</v>
      </c>
      <c r="I19" s="5">
        <v>1</v>
      </c>
      <c r="J19" s="15">
        <f t="shared" si="10"/>
        <v>43759</v>
      </c>
      <c r="S19" s="5">
        <v>18</v>
      </c>
      <c r="T19" s="34" t="s">
        <v>81</v>
      </c>
      <c r="U19" s="28">
        <v>165810</v>
      </c>
    </row>
    <row r="20" spans="1:21" x14ac:dyDescent="0.25">
      <c r="A20" s="5">
        <v>7</v>
      </c>
      <c r="B20" s="8">
        <v>45658</v>
      </c>
      <c r="C20" s="5" t="str">
        <f t="shared" si="8"/>
        <v>Wednesday</v>
      </c>
      <c r="D20" s="12" t="str">
        <f t="shared" si="9"/>
        <v>January</v>
      </c>
      <c r="G20" s="3">
        <v>7</v>
      </c>
      <c r="H20" s="8">
        <v>45658</v>
      </c>
      <c r="I20" s="5">
        <v>2</v>
      </c>
      <c r="J20" s="15">
        <f t="shared" si="10"/>
        <v>45717</v>
      </c>
      <c r="S20" s="5">
        <v>19</v>
      </c>
      <c r="T20" s="34" t="s">
        <v>82</v>
      </c>
      <c r="U20" s="28">
        <v>355102</v>
      </c>
    </row>
    <row r="21" spans="1:21" x14ac:dyDescent="0.25">
      <c r="A21" s="5">
        <v>8</v>
      </c>
      <c r="B21" s="8">
        <v>44846</v>
      </c>
      <c r="C21" s="5" t="str">
        <f t="shared" si="8"/>
        <v>Wednesday</v>
      </c>
      <c r="D21" s="12" t="str">
        <f t="shared" si="9"/>
        <v>October</v>
      </c>
      <c r="G21" s="3">
        <v>8</v>
      </c>
      <c r="H21" s="8">
        <v>44846</v>
      </c>
      <c r="I21" s="5">
        <v>3</v>
      </c>
      <c r="J21" s="15">
        <f t="shared" si="10"/>
        <v>44938</v>
      </c>
      <c r="S21" s="5">
        <v>20</v>
      </c>
      <c r="T21" s="34" t="s">
        <v>83</v>
      </c>
      <c r="U21" s="28">
        <v>488004</v>
      </c>
    </row>
    <row r="22" spans="1:21" x14ac:dyDescent="0.25">
      <c r="A22" s="5">
        <v>9</v>
      </c>
      <c r="B22" s="8">
        <v>45285</v>
      </c>
      <c r="C22" s="5" t="str">
        <f t="shared" si="8"/>
        <v>Monday</v>
      </c>
      <c r="D22" s="12" t="str">
        <f t="shared" si="9"/>
        <v>December</v>
      </c>
      <c r="G22" s="3">
        <v>9</v>
      </c>
      <c r="H22" s="8">
        <v>45285</v>
      </c>
      <c r="I22" s="5">
        <v>3</v>
      </c>
      <c r="J22" s="15">
        <f t="shared" si="10"/>
        <v>45376</v>
      </c>
      <c r="S22" s="5">
        <v>21</v>
      </c>
      <c r="T22" s="34" t="s">
        <v>84</v>
      </c>
      <c r="U22" s="28">
        <v>354779</v>
      </c>
    </row>
    <row r="23" spans="1:21" ht="15.75" thickBot="1" x14ac:dyDescent="0.3">
      <c r="A23" s="5">
        <v>10</v>
      </c>
      <c r="B23" s="8">
        <v>44020</v>
      </c>
      <c r="C23" s="5" t="str">
        <f t="shared" si="8"/>
        <v>Wednesday</v>
      </c>
      <c r="D23" s="12" t="str">
        <f t="shared" si="9"/>
        <v>July</v>
      </c>
      <c r="G23" s="9">
        <v>10</v>
      </c>
      <c r="H23" s="10">
        <v>44020</v>
      </c>
      <c r="I23" s="14">
        <v>2</v>
      </c>
      <c r="J23" s="15">
        <f t="shared" si="10"/>
        <v>44082</v>
      </c>
    </row>
    <row r="24" spans="1:21" ht="15.75" thickBot="1" x14ac:dyDescent="0.3"/>
    <row r="25" spans="1:21" x14ac:dyDescent="0.25">
      <c r="A25" s="16" t="s">
        <v>0</v>
      </c>
      <c r="B25" s="17" t="s">
        <v>34</v>
      </c>
      <c r="C25" s="18" t="s">
        <v>35</v>
      </c>
      <c r="D25" s="17" t="s">
        <v>36</v>
      </c>
      <c r="E25" s="17" t="s">
        <v>37</v>
      </c>
      <c r="G25" s="23" t="s">
        <v>0</v>
      </c>
      <c r="H25" s="24" t="s">
        <v>1</v>
      </c>
      <c r="I25" s="24" t="s">
        <v>44</v>
      </c>
      <c r="J25" s="24" t="s">
        <v>38</v>
      </c>
      <c r="K25" s="24" t="s">
        <v>39</v>
      </c>
      <c r="L25" s="24" t="s">
        <v>40</v>
      </c>
      <c r="M25" s="24" t="s">
        <v>41</v>
      </c>
      <c r="N25" s="24" t="s">
        <v>42</v>
      </c>
      <c r="O25" s="25" t="s">
        <v>43</v>
      </c>
    </row>
    <row r="26" spans="1:21" x14ac:dyDescent="0.25">
      <c r="A26" s="3">
        <v>1</v>
      </c>
      <c r="B26" s="19">
        <v>45750</v>
      </c>
      <c r="C26" s="20">
        <v>45826</v>
      </c>
      <c r="D26" s="3">
        <f>_xlfn.DAYS(C26,B26)</f>
        <v>76</v>
      </c>
      <c r="E26" s="3">
        <f>NETWORKDAYS(B26,C26)</f>
        <v>55</v>
      </c>
      <c r="G26" s="3">
        <v>1</v>
      </c>
      <c r="H26" s="5" t="s">
        <v>45</v>
      </c>
      <c r="I26" s="5">
        <v>40</v>
      </c>
      <c r="J26" s="5">
        <v>38</v>
      </c>
      <c r="K26" s="5">
        <v>34</v>
      </c>
      <c r="L26" s="5">
        <v>77</v>
      </c>
      <c r="M26" s="6">
        <f>SUM(I26:L26)</f>
        <v>189</v>
      </c>
      <c r="N26" s="26">
        <f>M26/400</f>
        <v>0.47249999999999998</v>
      </c>
      <c r="O26" s="27" t="str">
        <f>IF(N26&gt;=33%,"Pass","Fail")</f>
        <v>Pass</v>
      </c>
    </row>
    <row r="27" spans="1:21" x14ac:dyDescent="0.25">
      <c r="A27" s="3">
        <v>2</v>
      </c>
      <c r="B27" s="19">
        <v>45795</v>
      </c>
      <c r="C27" s="20">
        <v>45843</v>
      </c>
      <c r="D27" s="3">
        <f t="shared" ref="D27:D35" si="11">_xlfn.DAYS(C27,B27)</f>
        <v>48</v>
      </c>
      <c r="E27" s="3">
        <f t="shared" ref="E27:E35" si="12">NETWORKDAYS(B27,C27)</f>
        <v>35</v>
      </c>
      <c r="G27" s="3">
        <v>2</v>
      </c>
      <c r="H27" s="5" t="s">
        <v>46</v>
      </c>
      <c r="I27" s="5">
        <v>35</v>
      </c>
      <c r="J27" s="5">
        <v>72</v>
      </c>
      <c r="K27" s="5">
        <v>76</v>
      </c>
      <c r="L27" s="5">
        <v>68</v>
      </c>
      <c r="M27" s="6">
        <f t="shared" ref="M27:M39" si="13">SUM(I27:L27)</f>
        <v>251</v>
      </c>
      <c r="N27" s="26">
        <f t="shared" ref="N27:N39" si="14">M27/400</f>
        <v>0.62749999999999995</v>
      </c>
      <c r="O27" s="27" t="str">
        <f t="shared" ref="O27:O39" si="15">IF(N27&gt;=33%,"Pass","Fail")</f>
        <v>Pass</v>
      </c>
    </row>
    <row r="28" spans="1:21" x14ac:dyDescent="0.25">
      <c r="A28" s="3">
        <v>3</v>
      </c>
      <c r="B28" s="19">
        <v>45820</v>
      </c>
      <c r="C28" s="20">
        <v>45892</v>
      </c>
      <c r="D28" s="3">
        <f t="shared" si="11"/>
        <v>72</v>
      </c>
      <c r="E28" s="3">
        <f t="shared" si="12"/>
        <v>52</v>
      </c>
      <c r="G28" s="3">
        <v>3</v>
      </c>
      <c r="H28" s="5" t="s">
        <v>47</v>
      </c>
      <c r="I28" s="5">
        <v>85</v>
      </c>
      <c r="J28" s="5">
        <v>87</v>
      </c>
      <c r="K28" s="5">
        <v>58</v>
      </c>
      <c r="L28" s="5">
        <v>62</v>
      </c>
      <c r="M28" s="6">
        <f t="shared" si="13"/>
        <v>292</v>
      </c>
      <c r="N28" s="26">
        <v>0.32400000000000001</v>
      </c>
      <c r="O28" s="27" t="str">
        <f t="shared" si="15"/>
        <v>Fail</v>
      </c>
    </row>
    <row r="29" spans="1:21" x14ac:dyDescent="0.25">
      <c r="A29" s="3">
        <v>4</v>
      </c>
      <c r="B29" s="19">
        <v>45863</v>
      </c>
      <c r="C29" s="20">
        <v>45914</v>
      </c>
      <c r="D29" s="3">
        <f t="shared" si="11"/>
        <v>51</v>
      </c>
      <c r="E29" s="3">
        <f t="shared" si="12"/>
        <v>36</v>
      </c>
      <c r="G29" s="3">
        <v>4</v>
      </c>
      <c r="H29" s="5" t="s">
        <v>48</v>
      </c>
      <c r="I29" s="5">
        <v>61</v>
      </c>
      <c r="J29" s="5">
        <v>52</v>
      </c>
      <c r="K29" s="5">
        <v>77</v>
      </c>
      <c r="L29" s="5">
        <v>67</v>
      </c>
      <c r="M29" s="6">
        <f t="shared" si="13"/>
        <v>257</v>
      </c>
      <c r="N29" s="26">
        <f t="shared" si="14"/>
        <v>0.64249999999999996</v>
      </c>
      <c r="O29" s="27" t="str">
        <f t="shared" si="15"/>
        <v>Pass</v>
      </c>
    </row>
    <row r="30" spans="1:21" x14ac:dyDescent="0.25">
      <c r="A30" s="3">
        <v>5</v>
      </c>
      <c r="B30" s="19">
        <v>45878</v>
      </c>
      <c r="C30" s="20">
        <v>45931</v>
      </c>
      <c r="D30" s="3">
        <f t="shared" si="11"/>
        <v>53</v>
      </c>
      <c r="E30" s="3">
        <f t="shared" si="12"/>
        <v>38</v>
      </c>
      <c r="G30" s="3">
        <v>5</v>
      </c>
      <c r="H30" s="5" t="s">
        <v>49</v>
      </c>
      <c r="I30" s="5">
        <v>26</v>
      </c>
      <c r="J30" s="5">
        <v>91</v>
      </c>
      <c r="K30" s="5">
        <v>75</v>
      </c>
      <c r="L30" s="5">
        <v>38</v>
      </c>
      <c r="M30" s="6">
        <f t="shared" si="13"/>
        <v>230</v>
      </c>
      <c r="N30" s="26">
        <f t="shared" si="14"/>
        <v>0.57499999999999996</v>
      </c>
      <c r="O30" s="27" t="str">
        <f t="shared" si="15"/>
        <v>Pass</v>
      </c>
    </row>
    <row r="31" spans="1:21" x14ac:dyDescent="0.25">
      <c r="A31" s="3">
        <v>6</v>
      </c>
      <c r="B31" s="19">
        <v>45930</v>
      </c>
      <c r="C31" s="20">
        <v>45988</v>
      </c>
      <c r="D31" s="3">
        <f t="shared" si="11"/>
        <v>58</v>
      </c>
      <c r="E31" s="3">
        <f t="shared" si="12"/>
        <v>43</v>
      </c>
      <c r="G31" s="3">
        <v>6</v>
      </c>
      <c r="H31" s="5" t="s">
        <v>50</v>
      </c>
      <c r="I31" s="5">
        <v>49</v>
      </c>
      <c r="J31" s="5">
        <v>55</v>
      </c>
      <c r="K31" s="5">
        <v>63</v>
      </c>
      <c r="L31" s="5">
        <v>73</v>
      </c>
      <c r="M31" s="6">
        <f t="shared" si="13"/>
        <v>240</v>
      </c>
      <c r="N31" s="26">
        <f t="shared" si="14"/>
        <v>0.6</v>
      </c>
      <c r="O31" s="27" t="str">
        <f t="shared" si="15"/>
        <v>Pass</v>
      </c>
    </row>
    <row r="32" spans="1:21" x14ac:dyDescent="0.25">
      <c r="A32" s="3">
        <v>7</v>
      </c>
      <c r="B32" s="19">
        <v>45944</v>
      </c>
      <c r="C32" s="20">
        <v>46003</v>
      </c>
      <c r="D32" s="3">
        <f t="shared" si="11"/>
        <v>59</v>
      </c>
      <c r="E32" s="3">
        <f t="shared" si="12"/>
        <v>44</v>
      </c>
      <c r="G32" s="3">
        <v>7</v>
      </c>
      <c r="H32" s="5" t="s">
        <v>51</v>
      </c>
      <c r="I32" s="5">
        <v>44</v>
      </c>
      <c r="J32" s="5">
        <v>56</v>
      </c>
      <c r="K32" s="5">
        <v>92</v>
      </c>
      <c r="L32" s="5">
        <v>77</v>
      </c>
      <c r="M32" s="6">
        <f t="shared" si="13"/>
        <v>269</v>
      </c>
      <c r="N32" s="26">
        <v>0.3</v>
      </c>
      <c r="O32" s="27" t="str">
        <f t="shared" si="15"/>
        <v>Fail</v>
      </c>
    </row>
    <row r="33" spans="1:15" x14ac:dyDescent="0.25">
      <c r="A33" s="3">
        <v>8</v>
      </c>
      <c r="B33" s="19">
        <v>45983</v>
      </c>
      <c r="C33" s="20">
        <v>46031</v>
      </c>
      <c r="D33" s="3">
        <f t="shared" si="11"/>
        <v>48</v>
      </c>
      <c r="E33" s="3">
        <f t="shared" si="12"/>
        <v>35</v>
      </c>
      <c r="G33" s="3">
        <v>8</v>
      </c>
      <c r="H33" s="5" t="s">
        <v>52</v>
      </c>
      <c r="I33" s="5">
        <v>95</v>
      </c>
      <c r="J33" s="5">
        <v>80</v>
      </c>
      <c r="K33" s="5">
        <v>62</v>
      </c>
      <c r="L33" s="5">
        <v>85</v>
      </c>
      <c r="M33" s="6">
        <f t="shared" si="13"/>
        <v>322</v>
      </c>
      <c r="N33" s="26">
        <f t="shared" si="14"/>
        <v>0.80500000000000005</v>
      </c>
      <c r="O33" s="27" t="str">
        <f t="shared" si="15"/>
        <v>Pass</v>
      </c>
    </row>
    <row r="34" spans="1:15" x14ac:dyDescent="0.25">
      <c r="A34" s="3">
        <v>9</v>
      </c>
      <c r="B34" s="19">
        <v>45997</v>
      </c>
      <c r="C34" s="20">
        <v>46075</v>
      </c>
      <c r="D34" s="3">
        <f t="shared" si="11"/>
        <v>78</v>
      </c>
      <c r="E34" s="3">
        <f t="shared" si="12"/>
        <v>55</v>
      </c>
      <c r="G34" s="3">
        <v>9</v>
      </c>
      <c r="H34" s="5" t="s">
        <v>53</v>
      </c>
      <c r="I34" s="5">
        <v>64</v>
      </c>
      <c r="J34" s="5">
        <v>59</v>
      </c>
      <c r="K34" s="5">
        <v>85</v>
      </c>
      <c r="L34" s="5">
        <v>58</v>
      </c>
      <c r="M34" s="6">
        <f t="shared" si="13"/>
        <v>266</v>
      </c>
      <c r="N34" s="26">
        <f t="shared" si="14"/>
        <v>0.66500000000000004</v>
      </c>
      <c r="O34" s="27" t="str">
        <f t="shared" si="15"/>
        <v>Pass</v>
      </c>
    </row>
    <row r="35" spans="1:15" ht="15.75" thickBot="1" x14ac:dyDescent="0.3">
      <c r="A35" s="9">
        <v>10</v>
      </c>
      <c r="B35" s="21">
        <v>46019</v>
      </c>
      <c r="C35" s="22">
        <v>46096</v>
      </c>
      <c r="D35" s="3">
        <f t="shared" si="11"/>
        <v>77</v>
      </c>
      <c r="E35" s="3">
        <f t="shared" si="12"/>
        <v>55</v>
      </c>
      <c r="G35" s="3">
        <v>10</v>
      </c>
      <c r="H35" s="5" t="s">
        <v>54</v>
      </c>
      <c r="I35" s="5">
        <v>32</v>
      </c>
      <c r="J35" s="5">
        <v>42</v>
      </c>
      <c r="K35" s="5">
        <v>30</v>
      </c>
      <c r="L35" s="5">
        <v>63</v>
      </c>
      <c r="M35" s="6">
        <f t="shared" si="13"/>
        <v>167</v>
      </c>
      <c r="N35" s="26">
        <f t="shared" si="14"/>
        <v>0.41749999999999998</v>
      </c>
      <c r="O35" s="27" t="str">
        <f t="shared" si="15"/>
        <v>Pass</v>
      </c>
    </row>
    <row r="36" spans="1:15" x14ac:dyDescent="0.25">
      <c r="G36" s="3">
        <v>11</v>
      </c>
      <c r="H36" s="5" t="s">
        <v>55</v>
      </c>
      <c r="I36" s="5">
        <v>32</v>
      </c>
      <c r="J36" s="5">
        <v>68</v>
      </c>
      <c r="K36" s="5">
        <v>48</v>
      </c>
      <c r="L36" s="5">
        <v>95</v>
      </c>
      <c r="M36" s="6">
        <f t="shared" si="13"/>
        <v>243</v>
      </c>
      <c r="N36" s="26">
        <v>0.21</v>
      </c>
      <c r="O36" s="27" t="str">
        <f t="shared" si="15"/>
        <v>Fail</v>
      </c>
    </row>
    <row r="37" spans="1:15" x14ac:dyDescent="0.25">
      <c r="G37" s="3">
        <v>12</v>
      </c>
      <c r="H37" s="5" t="s">
        <v>56</v>
      </c>
      <c r="I37" s="5">
        <v>98</v>
      </c>
      <c r="J37" s="5">
        <v>53</v>
      </c>
      <c r="K37" s="5">
        <v>52</v>
      </c>
      <c r="L37" s="5">
        <v>57</v>
      </c>
      <c r="M37" s="6">
        <f t="shared" si="13"/>
        <v>260</v>
      </c>
      <c r="N37" s="26">
        <f t="shared" si="14"/>
        <v>0.65</v>
      </c>
      <c r="O37" s="27" t="str">
        <f t="shared" si="15"/>
        <v>Pass</v>
      </c>
    </row>
    <row r="38" spans="1:15" x14ac:dyDescent="0.25">
      <c r="G38" s="3">
        <v>13</v>
      </c>
      <c r="H38" s="5" t="s">
        <v>57</v>
      </c>
      <c r="I38" s="5">
        <v>61</v>
      </c>
      <c r="J38" s="5">
        <v>83</v>
      </c>
      <c r="K38" s="5">
        <v>39</v>
      </c>
      <c r="L38" s="5">
        <v>80</v>
      </c>
      <c r="M38" s="6">
        <f t="shared" si="13"/>
        <v>263</v>
      </c>
      <c r="N38" s="26">
        <f t="shared" si="14"/>
        <v>0.65749999999999997</v>
      </c>
      <c r="O38" s="27" t="str">
        <f t="shared" si="15"/>
        <v>Pass</v>
      </c>
    </row>
    <row r="39" spans="1:15" x14ac:dyDescent="0.25">
      <c r="G39" s="3">
        <v>14</v>
      </c>
      <c r="H39" s="5" t="s">
        <v>58</v>
      </c>
      <c r="I39" s="5">
        <v>58</v>
      </c>
      <c r="J39" s="5">
        <v>87</v>
      </c>
      <c r="K39" s="5">
        <v>72</v>
      </c>
      <c r="L39" s="5">
        <v>46</v>
      </c>
      <c r="M39" s="6">
        <f t="shared" si="13"/>
        <v>263</v>
      </c>
      <c r="N39" s="26">
        <f t="shared" si="14"/>
        <v>0.65749999999999997</v>
      </c>
      <c r="O39" s="27" t="str">
        <f t="shared" si="15"/>
        <v>Pass</v>
      </c>
    </row>
    <row r="45" spans="1:15" ht="15.75" thickBot="1" x14ac:dyDescent="0.3">
      <c r="A45" s="38" t="s">
        <v>0</v>
      </c>
      <c r="B45" s="38" t="s">
        <v>59</v>
      </c>
      <c r="C45" s="38" t="s">
        <v>85</v>
      </c>
      <c r="D45" s="38" t="s">
        <v>86</v>
      </c>
      <c r="E45" s="38" t="s">
        <v>60</v>
      </c>
    </row>
    <row r="46" spans="1:15" x14ac:dyDescent="0.25">
      <c r="A46" s="39">
        <v>1</v>
      </c>
      <c r="B46" s="37" t="s">
        <v>105</v>
      </c>
      <c r="C46" s="37" t="s">
        <v>87</v>
      </c>
      <c r="D46" s="37" t="s">
        <v>101</v>
      </c>
      <c r="E46" s="40">
        <v>211065</v>
      </c>
      <c r="G46" s="35" t="s">
        <v>59</v>
      </c>
      <c r="H46" s="36" t="s">
        <v>60</v>
      </c>
    </row>
    <row r="47" spans="1:15" x14ac:dyDescent="0.25">
      <c r="A47" s="39">
        <v>2</v>
      </c>
      <c r="B47" s="37" t="s">
        <v>106</v>
      </c>
      <c r="C47" s="37" t="s">
        <v>88</v>
      </c>
      <c r="D47" s="37" t="s">
        <v>102</v>
      </c>
      <c r="E47" s="40">
        <v>142909</v>
      </c>
      <c r="G47" s="37" t="s">
        <v>108</v>
      </c>
      <c r="H47" s="13">
        <f>_xlfn.XLOOKUP(G47,$B$46:$B$65,E46:E65)</f>
        <v>404144</v>
      </c>
    </row>
    <row r="48" spans="1:15" x14ac:dyDescent="0.25">
      <c r="A48" s="39">
        <v>3</v>
      </c>
      <c r="B48" s="37" t="s">
        <v>107</v>
      </c>
      <c r="C48" s="37" t="s">
        <v>88</v>
      </c>
      <c r="D48" s="37" t="s">
        <v>102</v>
      </c>
      <c r="E48" s="40">
        <v>176545</v>
      </c>
      <c r="G48" s="37" t="s">
        <v>109</v>
      </c>
      <c r="H48" s="13">
        <f t="shared" ref="H48:H53" si="16">_xlfn.XLOOKUP(G48,$B$46:$B$65,E47:E66)</f>
        <v>193217</v>
      </c>
    </row>
    <row r="49" spans="1:8" x14ac:dyDescent="0.25">
      <c r="A49" s="39">
        <v>4</v>
      </c>
      <c r="B49" s="37" t="s">
        <v>108</v>
      </c>
      <c r="C49" s="37" t="s">
        <v>89</v>
      </c>
      <c r="D49" s="37" t="s">
        <v>102</v>
      </c>
      <c r="E49" s="40">
        <v>404144</v>
      </c>
      <c r="G49" s="37" t="s">
        <v>110</v>
      </c>
      <c r="H49" s="13">
        <f t="shared" si="16"/>
        <v>493266</v>
      </c>
    </row>
    <row r="50" spans="1:8" x14ac:dyDescent="0.25">
      <c r="A50" s="39">
        <v>5</v>
      </c>
      <c r="B50" s="37" t="s">
        <v>109</v>
      </c>
      <c r="C50" s="37" t="s">
        <v>90</v>
      </c>
      <c r="D50" s="37" t="s">
        <v>102</v>
      </c>
      <c r="E50" s="40">
        <v>237870</v>
      </c>
      <c r="G50" s="37" t="s">
        <v>111</v>
      </c>
      <c r="H50" s="13">
        <f t="shared" si="16"/>
        <v>165842</v>
      </c>
    </row>
    <row r="51" spans="1:8" x14ac:dyDescent="0.25">
      <c r="A51" s="39">
        <v>6</v>
      </c>
      <c r="B51" s="37" t="s">
        <v>110</v>
      </c>
      <c r="C51" s="37" t="s">
        <v>91</v>
      </c>
      <c r="D51" s="37" t="s">
        <v>103</v>
      </c>
      <c r="E51" s="40">
        <v>193217</v>
      </c>
      <c r="G51" s="37" t="s">
        <v>112</v>
      </c>
      <c r="H51" s="13">
        <f t="shared" si="16"/>
        <v>296429</v>
      </c>
    </row>
    <row r="52" spans="1:8" x14ac:dyDescent="0.25">
      <c r="A52" s="39">
        <v>7</v>
      </c>
      <c r="B52" s="37" t="s">
        <v>111</v>
      </c>
      <c r="C52" s="37" t="s">
        <v>92</v>
      </c>
      <c r="D52" s="37" t="s">
        <v>102</v>
      </c>
      <c r="E52" s="40">
        <v>305808</v>
      </c>
      <c r="G52" s="37" t="s">
        <v>113</v>
      </c>
      <c r="H52" s="13">
        <f t="shared" si="16"/>
        <v>474333</v>
      </c>
    </row>
    <row r="53" spans="1:8" x14ac:dyDescent="0.25">
      <c r="A53" s="39">
        <v>8</v>
      </c>
      <c r="B53" s="37" t="s">
        <v>112</v>
      </c>
      <c r="C53" s="37" t="s">
        <v>93</v>
      </c>
      <c r="D53" s="37" t="s">
        <v>104</v>
      </c>
      <c r="E53" s="40">
        <v>493266</v>
      </c>
      <c r="G53" s="37" t="s">
        <v>114</v>
      </c>
      <c r="H53" s="13">
        <f t="shared" si="16"/>
        <v>255948</v>
      </c>
    </row>
    <row r="54" spans="1:8" x14ac:dyDescent="0.25">
      <c r="A54" s="39">
        <v>9</v>
      </c>
      <c r="B54" s="37" t="s">
        <v>113</v>
      </c>
      <c r="C54" s="37" t="s">
        <v>94</v>
      </c>
      <c r="D54" s="37" t="s">
        <v>104</v>
      </c>
      <c r="E54" s="40">
        <v>404772</v>
      </c>
    </row>
    <row r="55" spans="1:8" x14ac:dyDescent="0.25">
      <c r="A55" s="39">
        <v>10</v>
      </c>
      <c r="B55" s="37" t="s">
        <v>114</v>
      </c>
      <c r="C55" s="37" t="s">
        <v>93</v>
      </c>
      <c r="D55" s="37" t="s">
        <v>102</v>
      </c>
      <c r="E55" s="40">
        <v>165842</v>
      </c>
    </row>
    <row r="56" spans="1:8" x14ac:dyDescent="0.25">
      <c r="A56" s="39">
        <v>11</v>
      </c>
      <c r="B56" s="37" t="s">
        <v>115</v>
      </c>
      <c r="C56" s="37" t="s">
        <v>95</v>
      </c>
      <c r="D56" s="37" t="s">
        <v>104</v>
      </c>
      <c r="E56" s="40">
        <v>492195</v>
      </c>
    </row>
    <row r="57" spans="1:8" x14ac:dyDescent="0.25">
      <c r="A57" s="39">
        <v>12</v>
      </c>
      <c r="B57" s="37" t="s">
        <v>116</v>
      </c>
      <c r="C57" s="37" t="s">
        <v>96</v>
      </c>
      <c r="D57" s="37" t="s">
        <v>104</v>
      </c>
      <c r="E57" s="40">
        <v>296429</v>
      </c>
    </row>
    <row r="58" spans="1:8" x14ac:dyDescent="0.25">
      <c r="A58" s="39">
        <v>13</v>
      </c>
      <c r="B58" s="37" t="s">
        <v>117</v>
      </c>
      <c r="C58" s="37" t="s">
        <v>96</v>
      </c>
      <c r="D58" s="37" t="s">
        <v>102</v>
      </c>
      <c r="E58" s="40">
        <v>453216</v>
      </c>
    </row>
    <row r="59" spans="1:8" x14ac:dyDescent="0.25">
      <c r="A59" s="39">
        <v>14</v>
      </c>
      <c r="B59" s="37" t="s">
        <v>118</v>
      </c>
      <c r="C59" s="37" t="s">
        <v>97</v>
      </c>
      <c r="D59" s="37" t="s">
        <v>102</v>
      </c>
      <c r="E59" s="40">
        <v>474333</v>
      </c>
    </row>
    <row r="60" spans="1:8" x14ac:dyDescent="0.25">
      <c r="A60" s="39">
        <v>15</v>
      </c>
      <c r="B60" s="37" t="s">
        <v>119</v>
      </c>
      <c r="C60" s="37" t="s">
        <v>98</v>
      </c>
      <c r="D60" s="37" t="s">
        <v>102</v>
      </c>
      <c r="E60" s="40">
        <v>280660</v>
      </c>
    </row>
    <row r="61" spans="1:8" x14ac:dyDescent="0.25">
      <c r="A61" s="39">
        <v>16</v>
      </c>
      <c r="B61" s="37" t="s">
        <v>120</v>
      </c>
      <c r="C61" s="37" t="s">
        <v>98</v>
      </c>
      <c r="D61" s="37" t="s">
        <v>102</v>
      </c>
      <c r="E61" s="40">
        <v>255948</v>
      </c>
    </row>
    <row r="62" spans="1:8" x14ac:dyDescent="0.25">
      <c r="A62" s="39">
        <v>17</v>
      </c>
      <c r="B62" s="37" t="s">
        <v>121</v>
      </c>
      <c r="C62" s="37" t="s">
        <v>98</v>
      </c>
      <c r="D62" s="37" t="s">
        <v>102</v>
      </c>
      <c r="E62" s="40">
        <v>286879</v>
      </c>
    </row>
    <row r="63" spans="1:8" x14ac:dyDescent="0.25">
      <c r="A63" s="39">
        <v>18</v>
      </c>
      <c r="B63" s="37" t="s">
        <v>122</v>
      </c>
      <c r="C63" s="37" t="s">
        <v>98</v>
      </c>
      <c r="D63" s="37" t="s">
        <v>104</v>
      </c>
      <c r="E63" s="40">
        <v>482296</v>
      </c>
    </row>
    <row r="64" spans="1:8" x14ac:dyDescent="0.25">
      <c r="A64" s="39">
        <v>19</v>
      </c>
      <c r="B64" s="37" t="s">
        <v>123</v>
      </c>
      <c r="C64" s="37" t="s">
        <v>99</v>
      </c>
      <c r="D64" s="37" t="s">
        <v>102</v>
      </c>
      <c r="E64" s="40">
        <v>380081</v>
      </c>
    </row>
    <row r="65" spans="1:7" x14ac:dyDescent="0.25">
      <c r="A65" s="39">
        <v>20</v>
      </c>
      <c r="B65" s="37" t="s">
        <v>124</v>
      </c>
      <c r="C65" s="37" t="s">
        <v>100</v>
      </c>
      <c r="D65" s="37" t="s">
        <v>102</v>
      </c>
      <c r="E65" s="40">
        <v>231553</v>
      </c>
    </row>
    <row r="71" spans="1:7" x14ac:dyDescent="0.25">
      <c r="G71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Muaaz Khan</dc:creator>
  <cp:lastModifiedBy>Muaaz Khan</cp:lastModifiedBy>
  <dcterms:created xsi:type="dcterms:W3CDTF">2026-06-17T12:07:51Z</dcterms:created>
  <dcterms:modified xsi:type="dcterms:W3CDTF">2026-06-17T14:44:36Z</dcterms:modified>
</cp:coreProperties>
</file>