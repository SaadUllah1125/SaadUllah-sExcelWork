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aaz\Desktop\Saad Ullah's Excel Work\"/>
    </mc:Choice>
  </mc:AlternateContent>
  <xr:revisionPtr revIDLastSave="0" documentId="8_{FB677890-0786-450E-9246-6729A688EB23}" xr6:coauthVersionLast="47" xr6:coauthVersionMax="47" xr10:uidLastSave="{00000000-0000-0000-0000-000000000000}"/>
  <bookViews>
    <workbookView xWindow="-120" yWindow="-120" windowWidth="20730" windowHeight="11160" xr2:uid="{7E44E728-920C-4E28-B2FB-C6B153AAA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2" i="1"/>
  <c r="O19" i="1"/>
  <c r="N17" i="1"/>
  <c r="N18" i="1"/>
  <c r="O18" i="1" s="1"/>
  <c r="N19" i="1"/>
  <c r="N20" i="1"/>
  <c r="N16" i="1"/>
  <c r="M17" i="1"/>
  <c r="O17" i="1" s="1"/>
  <c r="M18" i="1"/>
  <c r="M19" i="1"/>
  <c r="M20" i="1"/>
  <c r="O20" i="1" s="1"/>
  <c r="M16" i="1"/>
  <c r="O16" i="1" s="1"/>
  <c r="M10" i="1"/>
  <c r="M11" i="1"/>
  <c r="M12" i="1"/>
  <c r="M13" i="1"/>
  <c r="M9" i="1"/>
  <c r="M3" i="1"/>
  <c r="M4" i="1"/>
  <c r="M5" i="1"/>
  <c r="M6" i="1"/>
  <c r="M2" i="1"/>
  <c r="F17" i="1"/>
  <c r="F18" i="1"/>
  <c r="F19" i="1"/>
  <c r="F20" i="1"/>
  <c r="F16" i="1"/>
  <c r="F10" i="1"/>
  <c r="F11" i="1"/>
  <c r="F12" i="1"/>
  <c r="F13" i="1"/>
  <c r="F9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<sst xmlns="http://schemas.openxmlformats.org/spreadsheetml/2006/main" count="90" uniqueCount="20">
  <si>
    <t>S no</t>
  </si>
  <si>
    <t>Name</t>
  </si>
  <si>
    <t>Jan</t>
  </si>
  <si>
    <t>Feb</t>
  </si>
  <si>
    <t>March</t>
  </si>
  <si>
    <t>Sum</t>
  </si>
  <si>
    <t>Salman</t>
  </si>
  <si>
    <t>Usman</t>
  </si>
  <si>
    <t>Bilal</t>
  </si>
  <si>
    <t>Faizan</t>
  </si>
  <si>
    <t>Zeeshan</t>
  </si>
  <si>
    <t>Average</t>
  </si>
  <si>
    <t>Maximum</t>
  </si>
  <si>
    <t>Minimum</t>
  </si>
  <si>
    <t>Count</t>
  </si>
  <si>
    <t>not sold</t>
  </si>
  <si>
    <t>CountA</t>
  </si>
  <si>
    <t>CountBlank</t>
  </si>
  <si>
    <t>Rehan</t>
  </si>
  <si>
    <t>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</si>
</sst>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18B2-DDAA-490E-9AC5-C0A967341FE5}">
  <dimension ref="A1:T20"/>
  <sheetViews>
    <sheetView tabSelected="1" zoomScale="85" zoomScaleNormal="85" workbookViewId="0">
      <selection activeCell="V11" sqref="V11"/>
    </sheetView>
  </sheetViews>
  <sheetFormatPr defaultRowHeight="15" x14ac:dyDescent="0.25"/>
  <cols>
    <col min="6" max="6" width="10.28515625" customWidth="1"/>
    <col min="13" max="13" width="10" customWidth="1"/>
    <col min="20" max="20" width="12.28515625" customWidth="1"/>
    <col min="22" max="22" width="12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3" t="s">
        <v>13</v>
      </c>
      <c r="O1" s="1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3" t="s">
        <v>17</v>
      </c>
    </row>
    <row r="2" spans="1:20" x14ac:dyDescent="0.25">
      <c r="A2" s="4">
        <v>1</v>
      </c>
      <c r="B2" s="5" t="s">
        <v>6</v>
      </c>
      <c r="C2" s="5">
        <v>73539</v>
      </c>
      <c r="D2" s="5">
        <v>46633</v>
      </c>
      <c r="E2" s="5">
        <v>44235</v>
      </c>
      <c r="F2" s="6">
        <f>SUM(C2:E2)</f>
        <v>164407</v>
      </c>
      <c r="H2" s="4">
        <v>1</v>
      </c>
      <c r="I2" s="5" t="s">
        <v>6</v>
      </c>
      <c r="J2" s="5">
        <v>73539</v>
      </c>
      <c r="K2" s="5">
        <v>46633</v>
      </c>
      <c r="L2" s="5">
        <v>44235</v>
      </c>
      <c r="M2" s="6">
        <f>MIN(J1:L2)</f>
        <v>44235</v>
      </c>
      <c r="O2" s="4">
        <v>1</v>
      </c>
      <c r="P2" s="5" t="s">
        <v>6</v>
      </c>
      <c r="Q2" s="5">
        <v>73539</v>
      </c>
      <c r="R2" s="5">
        <v>46633</v>
      </c>
      <c r="S2" s="5" t="s">
        <v>15</v>
      </c>
      <c r="T2" s="6">
        <f>COUNTBLANK(Q2:S2)</f>
        <v>0</v>
      </c>
    </row>
    <row r="3" spans="1:20" x14ac:dyDescent="0.25">
      <c r="A3" s="4">
        <v>2</v>
      </c>
      <c r="B3" s="5" t="s">
        <v>7</v>
      </c>
      <c r="C3" s="5">
        <v>98924</v>
      </c>
      <c r="D3" s="5">
        <v>53713</v>
      </c>
      <c r="E3" s="5">
        <v>19733</v>
      </c>
      <c r="F3" s="6">
        <f t="shared" ref="F3:F6" si="0">SUM(C3:E3)</f>
        <v>172370</v>
      </c>
      <c r="H3" s="4">
        <v>2</v>
      </c>
      <c r="I3" s="5" t="s">
        <v>7</v>
      </c>
      <c r="J3" s="5">
        <v>98924</v>
      </c>
      <c r="K3" s="5">
        <v>53713</v>
      </c>
      <c r="L3" s="5">
        <v>19733</v>
      </c>
      <c r="M3" s="6">
        <f t="shared" ref="M3:M6" si="1">MIN(J2:L3)</f>
        <v>19733</v>
      </c>
      <c r="O3" s="4">
        <v>2</v>
      </c>
      <c r="P3" s="5" t="s">
        <v>7</v>
      </c>
      <c r="Q3" s="5">
        <v>98924</v>
      </c>
      <c r="R3" s="5">
        <v>53713</v>
      </c>
      <c r="S3" s="5" t="s">
        <v>15</v>
      </c>
      <c r="T3" s="6">
        <f t="shared" ref="T3:T6" si="2">COUNTBLANK(Q3:S3)</f>
        <v>0</v>
      </c>
    </row>
    <row r="4" spans="1:20" x14ac:dyDescent="0.25">
      <c r="A4" s="4">
        <v>3</v>
      </c>
      <c r="B4" s="5" t="s">
        <v>8</v>
      </c>
      <c r="C4" s="5">
        <v>57054</v>
      </c>
      <c r="D4" s="5">
        <v>75142</v>
      </c>
      <c r="E4" s="5">
        <v>26026</v>
      </c>
      <c r="F4" s="6">
        <f t="shared" si="0"/>
        <v>158222</v>
      </c>
      <c r="H4" s="4">
        <v>3</v>
      </c>
      <c r="I4" s="5" t="s">
        <v>8</v>
      </c>
      <c r="J4" s="5">
        <v>57054</v>
      </c>
      <c r="K4" s="5">
        <v>75142</v>
      </c>
      <c r="L4" s="5">
        <v>26026</v>
      </c>
      <c r="M4" s="6">
        <f t="shared" si="1"/>
        <v>19733</v>
      </c>
      <c r="O4" s="4">
        <v>3</v>
      </c>
      <c r="P4" s="5" t="s">
        <v>18</v>
      </c>
      <c r="Q4" s="5" t="s">
        <v>15</v>
      </c>
      <c r="R4" s="5"/>
      <c r="S4" s="5">
        <v>26026</v>
      </c>
      <c r="T4" s="6">
        <f t="shared" si="2"/>
        <v>1</v>
      </c>
    </row>
    <row r="5" spans="1:20" x14ac:dyDescent="0.25">
      <c r="A5" s="4">
        <v>4</v>
      </c>
      <c r="B5" s="5" t="s">
        <v>9</v>
      </c>
      <c r="C5" s="5">
        <v>22071</v>
      </c>
      <c r="D5" s="5">
        <v>11002</v>
      </c>
      <c r="E5" s="5">
        <v>92262</v>
      </c>
      <c r="F5" s="6">
        <f t="shared" si="0"/>
        <v>125335</v>
      </c>
      <c r="H5" s="4">
        <v>4</v>
      </c>
      <c r="I5" s="5" t="s">
        <v>9</v>
      </c>
      <c r="J5" s="5">
        <v>22071</v>
      </c>
      <c r="K5" s="5">
        <v>11002</v>
      </c>
      <c r="L5" s="5">
        <v>92262</v>
      </c>
      <c r="M5" s="6">
        <f t="shared" si="1"/>
        <v>11002</v>
      </c>
      <c r="O5" s="4">
        <v>4</v>
      </c>
      <c r="P5" s="5" t="s">
        <v>10</v>
      </c>
      <c r="Q5" s="5">
        <v>22071</v>
      </c>
      <c r="R5" s="5"/>
      <c r="S5" s="5">
        <v>92262</v>
      </c>
      <c r="T5" s="6">
        <f t="shared" si="2"/>
        <v>1</v>
      </c>
    </row>
    <row r="6" spans="1:20" ht="15.75" thickBot="1" x14ac:dyDescent="0.3">
      <c r="A6" s="7">
        <v>5</v>
      </c>
      <c r="B6" s="8" t="s">
        <v>10</v>
      </c>
      <c r="C6" s="8">
        <v>16263</v>
      </c>
      <c r="D6" s="8">
        <v>29508</v>
      </c>
      <c r="E6" s="8">
        <v>91522</v>
      </c>
      <c r="F6" s="6">
        <f t="shared" si="0"/>
        <v>137293</v>
      </c>
      <c r="H6" s="7">
        <v>5</v>
      </c>
      <c r="I6" s="8" t="s">
        <v>10</v>
      </c>
      <c r="J6" s="8">
        <v>16263</v>
      </c>
      <c r="K6" s="8">
        <v>29508</v>
      </c>
      <c r="L6" s="8">
        <v>91522</v>
      </c>
      <c r="M6" s="6">
        <f t="shared" si="1"/>
        <v>11002</v>
      </c>
      <c r="O6" s="7">
        <v>5</v>
      </c>
      <c r="P6" s="8" t="s">
        <v>19</v>
      </c>
      <c r="Q6" s="8">
        <v>16263</v>
      </c>
      <c r="R6" s="8">
        <v>29508</v>
      </c>
      <c r="S6" s="8"/>
      <c r="T6" s="6">
        <f t="shared" si="2"/>
        <v>1</v>
      </c>
    </row>
    <row r="7" spans="1:20" ht="15.75" thickBot="1" x14ac:dyDescent="0.3"/>
    <row r="8" spans="1:20" x14ac:dyDescent="0.25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3" t="s">
        <v>11</v>
      </c>
      <c r="H8" s="1" t="s">
        <v>0</v>
      </c>
      <c r="I8" s="2" t="s">
        <v>1</v>
      </c>
      <c r="J8" s="2" t="s">
        <v>2</v>
      </c>
      <c r="K8" s="2" t="s">
        <v>3</v>
      </c>
      <c r="L8" s="2" t="s">
        <v>4</v>
      </c>
      <c r="M8" s="3" t="s">
        <v>14</v>
      </c>
    </row>
    <row r="9" spans="1:20" x14ac:dyDescent="0.25">
      <c r="A9" s="4">
        <v>1</v>
      </c>
      <c r="B9" s="5" t="s">
        <v>6</v>
      </c>
      <c r="C9" s="5">
        <v>73539</v>
      </c>
      <c r="D9" s="5">
        <v>46633</v>
      </c>
      <c r="E9" s="5">
        <v>44235</v>
      </c>
      <c r="F9" s="9">
        <f>AVERAGE(C9:E9)</f>
        <v>54802.333333333336</v>
      </c>
      <c r="H9" s="4">
        <v>1</v>
      </c>
      <c r="I9" s="5" t="s">
        <v>6</v>
      </c>
      <c r="J9" s="5">
        <v>73539</v>
      </c>
      <c r="K9" s="5">
        <v>46633</v>
      </c>
      <c r="L9" s="5" t="s">
        <v>15</v>
      </c>
      <c r="M9" s="6">
        <f>COUNT(J9:L9)</f>
        <v>2</v>
      </c>
    </row>
    <row r="10" spans="1:20" x14ac:dyDescent="0.25">
      <c r="A10" s="4">
        <v>2</v>
      </c>
      <c r="B10" s="5" t="s">
        <v>7</v>
      </c>
      <c r="C10" s="5">
        <v>98924</v>
      </c>
      <c r="D10" s="5">
        <v>53713</v>
      </c>
      <c r="E10" s="5">
        <v>19733</v>
      </c>
      <c r="F10" s="9">
        <f t="shared" ref="F10:F13" si="3">AVERAGE(C10:E10)</f>
        <v>57456.666666666664</v>
      </c>
      <c r="H10" s="4">
        <v>2</v>
      </c>
      <c r="I10" s="5" t="s">
        <v>7</v>
      </c>
      <c r="J10" s="5">
        <v>98924</v>
      </c>
      <c r="K10" s="5">
        <v>53713</v>
      </c>
      <c r="L10" s="5" t="s">
        <v>15</v>
      </c>
      <c r="M10" s="6">
        <f t="shared" ref="M10:M13" si="4">COUNT(J10:L10)</f>
        <v>2</v>
      </c>
    </row>
    <row r="11" spans="1:20" x14ac:dyDescent="0.25">
      <c r="A11" s="4">
        <v>3</v>
      </c>
      <c r="B11" s="5" t="s">
        <v>8</v>
      </c>
      <c r="C11" s="5">
        <v>57054</v>
      </c>
      <c r="D11" s="5">
        <v>75142</v>
      </c>
      <c r="E11" s="5">
        <v>26026</v>
      </c>
      <c r="F11" s="9">
        <f t="shared" si="3"/>
        <v>52740.666666666664</v>
      </c>
      <c r="H11" s="4">
        <v>3</v>
      </c>
      <c r="I11" s="5" t="s">
        <v>8</v>
      </c>
      <c r="J11" s="5" t="s">
        <v>15</v>
      </c>
      <c r="K11" s="5">
        <v>75142</v>
      </c>
      <c r="L11" s="5">
        <v>26026</v>
      </c>
      <c r="M11" s="6">
        <f t="shared" si="4"/>
        <v>2</v>
      </c>
    </row>
    <row r="12" spans="1:20" x14ac:dyDescent="0.25">
      <c r="A12" s="4">
        <v>4</v>
      </c>
      <c r="B12" s="5" t="s">
        <v>9</v>
      </c>
      <c r="C12" s="5">
        <v>22071</v>
      </c>
      <c r="D12" s="5">
        <v>11002</v>
      </c>
      <c r="E12" s="5">
        <v>92262</v>
      </c>
      <c r="F12" s="9">
        <f t="shared" si="3"/>
        <v>41778.333333333336</v>
      </c>
      <c r="H12" s="4">
        <v>4</v>
      </c>
      <c r="I12" s="5" t="s">
        <v>9</v>
      </c>
      <c r="J12" s="5">
        <v>22071</v>
      </c>
      <c r="K12" s="5" t="s">
        <v>15</v>
      </c>
      <c r="L12" s="5">
        <v>92262</v>
      </c>
      <c r="M12" s="6">
        <f t="shared" si="4"/>
        <v>2</v>
      </c>
    </row>
    <row r="13" spans="1:20" ht="15.75" thickBot="1" x14ac:dyDescent="0.3">
      <c r="A13" s="7">
        <v>5</v>
      </c>
      <c r="B13" s="8" t="s">
        <v>10</v>
      </c>
      <c r="C13" s="8">
        <v>16263</v>
      </c>
      <c r="D13" s="8">
        <v>29508</v>
      </c>
      <c r="E13" s="8">
        <v>91522</v>
      </c>
      <c r="F13" s="9">
        <f t="shared" si="3"/>
        <v>45764.333333333336</v>
      </c>
      <c r="H13" s="7">
        <v>5</v>
      </c>
      <c r="I13" s="8" t="s">
        <v>10</v>
      </c>
      <c r="J13" s="8">
        <v>16263</v>
      </c>
      <c r="K13" s="8">
        <v>29508</v>
      </c>
      <c r="L13" s="8" t="s">
        <v>15</v>
      </c>
      <c r="M13" s="6">
        <f t="shared" si="4"/>
        <v>2</v>
      </c>
    </row>
    <row r="14" spans="1:20" ht="15.75" thickBot="1" x14ac:dyDescent="0.3"/>
    <row r="15" spans="1:20" x14ac:dyDescent="0.2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3" t="s">
        <v>12</v>
      </c>
      <c r="H15" s="1" t="s">
        <v>0</v>
      </c>
      <c r="I15" s="2" t="s">
        <v>1</v>
      </c>
      <c r="J15" s="2" t="s">
        <v>2</v>
      </c>
      <c r="K15" s="2" t="s">
        <v>3</v>
      </c>
      <c r="L15" s="2" t="s">
        <v>4</v>
      </c>
      <c r="M15" s="3" t="s">
        <v>16</v>
      </c>
    </row>
    <row r="16" spans="1:20" x14ac:dyDescent="0.25">
      <c r="A16" s="4">
        <v>1</v>
      </c>
      <c r="B16" s="5" t="s">
        <v>6</v>
      </c>
      <c r="C16" s="5">
        <v>73539</v>
      </c>
      <c r="D16" s="5">
        <v>46633</v>
      </c>
      <c r="E16" s="5">
        <v>44235</v>
      </c>
      <c r="F16" s="6">
        <f>MAX(C16:E16)</f>
        <v>73539</v>
      </c>
      <c r="H16" s="4">
        <v>1</v>
      </c>
      <c r="I16" s="5" t="s">
        <v>6</v>
      </c>
      <c r="J16" s="5">
        <v>73539</v>
      </c>
      <c r="K16" s="5">
        <v>46633</v>
      </c>
      <c r="L16" s="5" t="s">
        <v>15</v>
      </c>
      <c r="M16" s="6">
        <f>COUNTA(J16:L16)</f>
        <v>3</v>
      </c>
      <c r="N16">
        <f>COUNT(J16:L16)</f>
        <v>2</v>
      </c>
      <c r="O16">
        <f>M16-N16</f>
        <v>1</v>
      </c>
    </row>
    <row r="17" spans="1:15" x14ac:dyDescent="0.25">
      <c r="A17" s="4">
        <v>2</v>
      </c>
      <c r="B17" s="5" t="s">
        <v>7</v>
      </c>
      <c r="C17" s="5">
        <v>98924</v>
      </c>
      <c r="D17" s="5">
        <v>53713</v>
      </c>
      <c r="E17" s="5">
        <v>19733</v>
      </c>
      <c r="F17" s="6">
        <f t="shared" ref="F17:F20" si="5">MAX(C17:E17)</f>
        <v>98924</v>
      </c>
      <c r="H17" s="4">
        <v>2</v>
      </c>
      <c r="I17" s="5" t="s">
        <v>7</v>
      </c>
      <c r="J17" s="5">
        <v>98924</v>
      </c>
      <c r="K17" s="5">
        <v>53713</v>
      </c>
      <c r="L17" s="5" t="s">
        <v>15</v>
      </c>
      <c r="M17" s="6">
        <f t="shared" ref="M17:M20" si="6">COUNTA(J17:L17)</f>
        <v>3</v>
      </c>
      <c r="N17">
        <f t="shared" ref="N17:N20" si="7">COUNT(J17:L17)</f>
        <v>2</v>
      </c>
      <c r="O17">
        <f t="shared" ref="O17:O20" si="8">M17-N17</f>
        <v>1</v>
      </c>
    </row>
    <row r="18" spans="1:15" x14ac:dyDescent="0.25">
      <c r="A18" s="4">
        <v>3</v>
      </c>
      <c r="B18" s="5" t="s">
        <v>8</v>
      </c>
      <c r="C18" s="5">
        <v>57054</v>
      </c>
      <c r="D18" s="5">
        <v>75142</v>
      </c>
      <c r="E18" s="5">
        <v>26026</v>
      </c>
      <c r="F18" s="6">
        <f t="shared" si="5"/>
        <v>75142</v>
      </c>
      <c r="H18" s="4">
        <v>3</v>
      </c>
      <c r="I18" s="5" t="s">
        <v>8</v>
      </c>
      <c r="J18" s="5" t="s">
        <v>15</v>
      </c>
      <c r="K18" s="5">
        <v>75142</v>
      </c>
      <c r="L18" s="5">
        <v>26026</v>
      </c>
      <c r="M18" s="6">
        <f t="shared" si="6"/>
        <v>3</v>
      </c>
      <c r="N18">
        <f t="shared" si="7"/>
        <v>2</v>
      </c>
      <c r="O18">
        <f t="shared" si="8"/>
        <v>1</v>
      </c>
    </row>
    <row r="19" spans="1:15" x14ac:dyDescent="0.25">
      <c r="A19" s="4">
        <v>4</v>
      </c>
      <c r="B19" s="5" t="s">
        <v>9</v>
      </c>
      <c r="C19" s="5">
        <v>22071</v>
      </c>
      <c r="D19" s="5">
        <v>11002</v>
      </c>
      <c r="E19" s="5">
        <v>92262</v>
      </c>
      <c r="F19" s="6">
        <f t="shared" si="5"/>
        <v>92262</v>
      </c>
      <c r="H19" s="4">
        <v>4</v>
      </c>
      <c r="I19" s="5" t="s">
        <v>9</v>
      </c>
      <c r="J19" s="5">
        <v>22071</v>
      </c>
      <c r="K19" s="5" t="s">
        <v>15</v>
      </c>
      <c r="L19" s="5">
        <v>92262</v>
      </c>
      <c r="M19" s="6">
        <f t="shared" si="6"/>
        <v>3</v>
      </c>
      <c r="N19">
        <f t="shared" si="7"/>
        <v>2</v>
      </c>
      <c r="O19">
        <f t="shared" si="8"/>
        <v>1</v>
      </c>
    </row>
    <row r="20" spans="1:15" ht="15.75" thickBot="1" x14ac:dyDescent="0.3">
      <c r="A20" s="7">
        <v>5</v>
      </c>
      <c r="B20" s="8" t="s">
        <v>10</v>
      </c>
      <c r="C20" s="8">
        <v>16263</v>
      </c>
      <c r="D20" s="8">
        <v>29508</v>
      </c>
      <c r="E20" s="8">
        <v>91522</v>
      </c>
      <c r="F20" s="6">
        <f t="shared" si="5"/>
        <v>91522</v>
      </c>
      <c r="H20" s="7">
        <v>5</v>
      </c>
      <c r="I20" s="8" t="s">
        <v>10</v>
      </c>
      <c r="J20" s="8">
        <v>16263</v>
      </c>
      <c r="K20" s="8">
        <v>29508</v>
      </c>
      <c r="L20" s="8" t="s">
        <v>15</v>
      </c>
      <c r="M20" s="6">
        <f t="shared" si="6"/>
        <v>3</v>
      </c>
      <c r="N20">
        <f t="shared" si="7"/>
        <v>2</v>
      </c>
      <c r="O20">
        <f t="shared" si="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Muaaz Khan</dc:creator>
  <cp:lastModifiedBy>Muaaz Khan</cp:lastModifiedBy>
  <dcterms:created xsi:type="dcterms:W3CDTF">2026-06-17T10:54:13Z</dcterms:created>
  <dcterms:modified xsi:type="dcterms:W3CDTF">2026-06-17T12:03:55Z</dcterms:modified>
</cp:coreProperties>
</file>